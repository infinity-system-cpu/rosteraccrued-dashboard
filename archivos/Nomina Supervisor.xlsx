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KS\OneDrive\Escritorio\HTMLS\HTML NOMINA COMPARTIDO V5\archivos\"/>
    </mc:Choice>
  </mc:AlternateContent>
  <xr:revisionPtr revIDLastSave="0" documentId="8_{E45DE2EC-ED79-4C1D-AAF5-AFD652AFDB86}" xr6:coauthVersionLast="47" xr6:coauthVersionMax="47" xr10:uidLastSave="{00000000-0000-0000-0000-000000000000}"/>
  <bookViews>
    <workbookView xWindow="-108" yWindow="-108" windowWidth="23256" windowHeight="12576" xr2:uid="{D2C33E4F-528B-434F-A7F5-80CBC5CAA588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9" i="1" l="1"/>
  <c r="E14" i="1"/>
  <c r="E19" i="1" s="1"/>
  <c r="E29" i="1" s="1"/>
  <c r="F3" i="1"/>
  <c r="D3" i="1"/>
  <c r="F1" i="1" l="1"/>
</calcChain>
</file>

<file path=xl/sharedStrings.xml><?xml version="1.0" encoding="utf-8"?>
<sst xmlns="http://schemas.openxmlformats.org/spreadsheetml/2006/main" count="36" uniqueCount="29">
  <si>
    <t xml:space="preserve">        RECIBO DE PAGO</t>
  </si>
  <si>
    <t>FECHA</t>
  </si>
  <si>
    <t>AL</t>
  </si>
  <si>
    <t>NOMBRE:</t>
  </si>
  <si>
    <t>TIPO</t>
  </si>
  <si>
    <t>COSTO</t>
  </si>
  <si>
    <t>LUNES</t>
  </si>
  <si>
    <t>EMPLEADO</t>
  </si>
  <si>
    <t>MARTES</t>
  </si>
  <si>
    <t>MIERCOLES</t>
  </si>
  <si>
    <t>JUEVES</t>
  </si>
  <si>
    <t>VIERNES</t>
  </si>
  <si>
    <t>SABADO</t>
  </si>
  <si>
    <t>DOMINGO</t>
  </si>
  <si>
    <t>HORAS EXTRAS</t>
  </si>
  <si>
    <t>TOTAL</t>
  </si>
  <si>
    <t>NOMNA DEPOSITADA BNTE.</t>
  </si>
  <si>
    <t>INFONAVIT + PENSION A. + PRESTAMO</t>
  </si>
  <si>
    <t>NOMBRE Y FIRMA</t>
  </si>
  <si>
    <t>Pension *NOV.25</t>
  </si>
  <si>
    <t>CON ESTE PAGO QUEDAN LIQUIDADOS MIS SERVICIOS REALIZADOS SIN NINGUNA ADEUDO</t>
  </si>
  <si>
    <t>F-1 Fecha del dia en curso</t>
  </si>
  <si>
    <t>D-3 Fecha de inicio</t>
  </si>
  <si>
    <t>F-3 Fecha de termino</t>
  </si>
  <si>
    <t>E-7 Costo</t>
  </si>
  <si>
    <t>D-4 Nombre del supervisor</t>
  </si>
  <si>
    <t>C-7 Dia de la semana</t>
  </si>
  <si>
    <t>D-7 Tipo de empleado</t>
  </si>
  <si>
    <t>E-19 Total 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</si>
</sst>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/mm/yyyy\ h:mm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color rgb="FF008000"/>
      <name val="Arial"/>
      <family val="2"/>
    </font>
    <font>
      <b/>
      <u/>
      <sz val="11"/>
      <color rgb="FF008000"/>
      <name val="Arial"/>
      <family val="2"/>
    </font>
    <font>
      <sz val="11"/>
      <color rgb="FF008000"/>
      <name val="Arial"/>
      <family val="2"/>
    </font>
    <font>
      <sz val="16"/>
      <color theme="1"/>
      <name val="Arial"/>
      <family val="2"/>
    </font>
    <font>
      <sz val="8"/>
      <color rgb="FF00B050"/>
      <name val="Arial"/>
      <family val="2"/>
    </font>
    <font>
      <b/>
      <sz val="11"/>
      <color rgb="FF0070C0"/>
      <name val="Arial"/>
      <family val="2"/>
    </font>
    <font>
      <b/>
      <u/>
      <sz val="10"/>
      <color rgb="FF002060"/>
      <name val="Arial"/>
      <family val="2"/>
    </font>
    <font>
      <b/>
      <u/>
      <sz val="11"/>
      <color rgb="FF002060"/>
      <name val="Arial"/>
      <family val="2"/>
    </font>
    <font>
      <b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C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2" fontId="2" fillId="0" borderId="0" xfId="0" applyNumberFormat="1" applyFont="1"/>
    <xf numFmtId="14" fontId="2" fillId="0" borderId="0" xfId="0" applyNumberFormat="1" applyFont="1"/>
    <xf numFmtId="0" fontId="4" fillId="0" borderId="0" xfId="0" applyFont="1"/>
    <xf numFmtId="2" fontId="4" fillId="0" borderId="0" xfId="0" applyNumberFormat="1" applyFont="1"/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44" fontId="2" fillId="0" borderId="1" xfId="1" applyFont="1" applyBorder="1" applyAlignment="1">
      <alignment vertical="center"/>
    </xf>
    <xf numFmtId="14" fontId="6" fillId="2" borderId="1" xfId="0" applyNumberFormat="1" applyFont="1" applyFill="1" applyBorder="1" applyAlignment="1">
      <alignment horizontal="center" vertical="center"/>
    </xf>
    <xf numFmtId="44" fontId="7" fillId="0" borderId="0" xfId="1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4" fontId="7" fillId="0" borderId="1" xfId="1" applyFont="1" applyFill="1" applyBorder="1" applyAlignment="1">
      <alignment vertical="center"/>
    </xf>
    <xf numFmtId="0" fontId="8" fillId="0" borderId="0" xfId="0" applyFont="1"/>
    <xf numFmtId="16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4" fontId="9" fillId="0" borderId="1" xfId="1" applyFont="1" applyFill="1" applyBorder="1" applyAlignment="1">
      <alignment vertical="center"/>
    </xf>
    <xf numFmtId="44" fontId="2" fillId="0" borderId="0" xfId="0" applyNumberFormat="1" applyFont="1"/>
    <xf numFmtId="164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4" fontId="10" fillId="0" borderId="1" xfId="1" applyFont="1" applyFill="1" applyBorder="1" applyAlignment="1">
      <alignment vertical="center"/>
    </xf>
    <xf numFmtId="44" fontId="11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center"/>
    </xf>
    <xf numFmtId="44" fontId="4" fillId="0" borderId="0" xfId="1" applyFont="1" applyAlignment="1">
      <alignment horizontal="center" vertical="center"/>
    </xf>
    <xf numFmtId="44" fontId="4" fillId="0" borderId="0" xfId="1" applyFont="1"/>
    <xf numFmtId="0" fontId="12" fillId="0" borderId="4" xfId="0" applyFont="1" applyBorder="1" applyAlignment="1">
      <alignment horizontal="center"/>
    </xf>
    <xf numFmtId="44" fontId="12" fillId="0" borderId="5" xfId="1" applyFont="1" applyBorder="1"/>
    <xf numFmtId="0" fontId="12" fillId="0" borderId="0" xfId="0" applyFont="1" applyAlignment="1">
      <alignment horizontal="center"/>
    </xf>
    <xf numFmtId="44" fontId="12" fillId="0" borderId="0" xfId="1" applyFont="1" applyBorder="1"/>
    <xf numFmtId="44" fontId="13" fillId="0" borderId="0" xfId="1" applyFont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44" fontId="14" fillId="3" borderId="7" xfId="1" applyFont="1" applyFill="1" applyBorder="1" applyAlignment="1">
      <alignment horizontal="center"/>
    </xf>
    <xf numFmtId="14" fontId="15" fillId="4" borderId="8" xfId="0" applyNumberFormat="1" applyFont="1" applyFill="1" applyBorder="1" applyAlignment="1">
      <alignment horizontal="center" vertical="center"/>
    </xf>
    <xf numFmtId="49" fontId="9" fillId="5" borderId="6" xfId="0" applyNumberFormat="1" applyFont="1" applyFill="1" applyBorder="1" applyAlignment="1">
      <alignment horizontal="center" vertical="center"/>
    </xf>
    <xf numFmtId="49" fontId="9" fillId="5" borderId="7" xfId="0" applyNumberFormat="1" applyFont="1" applyFill="1" applyBorder="1" applyAlignment="1">
      <alignment horizontal="center" vertical="center"/>
    </xf>
    <xf numFmtId="44" fontId="9" fillId="3" borderId="8" xfId="1" applyFont="1" applyFill="1" applyBorder="1"/>
    <xf numFmtId="44" fontId="16" fillId="4" borderId="5" xfId="1" applyFont="1" applyFill="1" applyBorder="1" applyAlignment="1">
      <alignment horizontal="center" vertical="center"/>
    </xf>
    <xf numFmtId="0" fontId="4" fillId="0" borderId="9" xfId="0" applyFont="1" applyBorder="1"/>
    <xf numFmtId="2" fontId="4" fillId="0" borderId="9" xfId="0" applyNumberFormat="1" applyFont="1" applyBorder="1"/>
    <xf numFmtId="0" fontId="17" fillId="6" borderId="0" xfId="0" applyFont="1" applyFill="1" applyAlignment="1">
      <alignment horizontal="right" vertical="center"/>
    </xf>
    <xf numFmtId="44" fontId="17" fillId="6" borderId="0" xfId="0" applyNumberFormat="1" applyFont="1" applyFill="1" applyAlignment="1">
      <alignment horizontal="left" vertical="center"/>
    </xf>
    <xf numFmtId="0" fontId="4" fillId="0" borderId="4" xfId="0" applyFont="1" applyBorder="1"/>
    <xf numFmtId="0" fontId="4" fillId="0" borderId="10" xfId="0" applyFont="1" applyBorder="1"/>
    <xf numFmtId="2" fontId="4" fillId="0" borderId="10" xfId="0" applyNumberFormat="1" applyFont="1" applyBorder="1"/>
    <xf numFmtId="0" fontId="4" fillId="0" borderId="5" xfId="0" applyFont="1" applyBorder="1"/>
    <xf numFmtId="0" fontId="2" fillId="0" borderId="11" xfId="0" applyFont="1" applyBorder="1"/>
    <xf numFmtId="0" fontId="7" fillId="0" borderId="11" xfId="0" applyFont="1" applyBorder="1"/>
    <xf numFmtId="0" fontId="7" fillId="0" borderId="0" xfId="0" applyFont="1"/>
  </cellXfs>
  <cellStyles count="2">
    <cellStyle name="Moneda" xfId="1" builtinId="4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638175</xdr:colOff>
      <xdr:row>25</xdr:row>
      <xdr:rowOff>38100</xdr:rowOff>
    </xdr:from>
    <xdr:to>
      <xdr:col>3</xdr:col>
      <xdr:colOff>984235</xdr:colOff>
      <xdr:row>27</xdr:row>
      <xdr:rowOff>1905</xdr:rowOff>
    </xdr:to>
    <xdr:pic>
      <xdr:nvPicPr>
        <xdr:cNvPr id="7" name="1 Imagen">
          <a:extLst>
            <a:ext uri="{FF2B5EF4-FFF2-40B4-BE49-F238E27FC236}">
              <a16:creationId xmlns:a16="http://schemas.microsoft.com/office/drawing/2014/main" id="{DACABBCA-A0F7-4830-9106-DB380A624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7035" y="5273040"/>
          <a:ext cx="346060" cy="3143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68580</xdr:rowOff>
    </xdr:from>
    <xdr:to>
      <xdr:col>1</xdr:col>
      <xdr:colOff>666215</xdr:colOff>
      <xdr:row>4</xdr:row>
      <xdr:rowOff>38100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8C9651D-9D8C-4ED7-AA5A-36566F7F9C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79" t="9770" r="9687" b="16667"/>
        <a:stretch/>
      </xdr:blipFill>
      <xdr:spPr>
        <a:xfrm>
          <a:off x="38100" y="68580"/>
          <a:ext cx="1085315" cy="670560"/>
        </a:xfrm>
        <a:prstGeom prst="rect">
          <a:avLst/>
        </a:prstGeom>
      </xdr:spPr>
    </xdr:pic>
    <xdr:clientData/>
  </xdr:twoCellAnchor>
  <xdr:twoCellAnchor>
    <xdr:from>
      <xdr:col>1</xdr:col>
      <xdr:colOff>5080</xdr:colOff>
      <xdr:row>31</xdr:row>
      <xdr:rowOff>14795</xdr:rowOff>
    </xdr:from>
    <xdr:to>
      <xdr:col>6</xdr:col>
      <xdr:colOff>284576</xdr:colOff>
      <xdr:row>34</xdr:row>
      <xdr:rowOff>92828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FCA2B3D9-E06F-4702-A380-D74B3D407256}"/>
            </a:ext>
          </a:extLst>
        </xdr:cNvPr>
        <xdr:cNvGrpSpPr/>
      </xdr:nvGrpSpPr>
      <xdr:grpSpPr>
        <a:xfrm>
          <a:off x="462280" y="5882195"/>
          <a:ext cx="6162136" cy="611433"/>
          <a:chOff x="381000" y="7391347"/>
          <a:chExt cx="5229956" cy="626744"/>
        </a:xfrm>
      </xdr:grpSpPr>
      <xdr:pic>
        <xdr:nvPicPr>
          <xdr:cNvPr id="10" name="Imagen 9">
            <a:extLst>
              <a:ext uri="{FF2B5EF4-FFF2-40B4-BE49-F238E27FC236}">
                <a16:creationId xmlns:a16="http://schemas.microsoft.com/office/drawing/2014/main" id="{2726BBE4-9FFC-4769-BA9E-EAFF377C6D81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2384"/>
          <a:stretch/>
        </xdr:blipFill>
        <xdr:spPr>
          <a:xfrm>
            <a:off x="3642360" y="7391347"/>
            <a:ext cx="1968596" cy="626744"/>
          </a:xfrm>
          <a:prstGeom prst="rect">
            <a:avLst/>
          </a:prstGeom>
        </xdr:spPr>
      </xdr:pic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BD2E1E6A-E584-615C-DCC9-D85523B2696B}"/>
              </a:ext>
            </a:extLst>
          </xdr:cNvPr>
          <xdr:cNvPicPr/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2384" b="89279"/>
          <a:stretch/>
        </xdr:blipFill>
        <xdr:spPr>
          <a:xfrm>
            <a:off x="381000" y="7399021"/>
            <a:ext cx="3263996" cy="6858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CKS\Dropbox\ALEJANDRUS\1)%20NOMINAS%202023\FORMATO%20NOMINA%20SEMANA%20DE%20EL%2028-11-2025%20AL%2004-12-2025.xlsx" TargetMode="External"/><Relationship Id="rId1" Type="http://schemas.openxmlformats.org/officeDocument/2006/relationships/externalLinkPath" Target="/Users/RACKS/Dropbox/ALEJANDRUS/1)%20NOMINAS%202023/FORMATO%20NOMINA%20SEMANA%20DE%20EL%2028-11-2025%20AL%2004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UMULADO"/>
      <sheetName val="TOTAL NOMINAS"/>
      <sheetName val="CAMP"/>
      <sheetName val="SUPER"/>
      <sheetName val="ERICK"/>
      <sheetName val="JUAN ANTONIO ALVAREZ GONZALEZ"/>
      <sheetName val="HUGUITO"/>
      <sheetName val="CHIQUIS"/>
      <sheetName val="ISRAEL"/>
      <sheetName val="ALANBRITO"/>
      <sheetName val="RODRIGO LOPEZ ZAMORA "/>
    </sheetNames>
    <sheetDataSet>
      <sheetData sheetId="0"/>
      <sheetData sheetId="1">
        <row r="1">
          <cell r="F1">
            <v>46001</v>
          </cell>
        </row>
        <row r="3">
          <cell r="D3">
            <v>45989</v>
          </cell>
          <cell r="F3">
            <v>45995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CBF4-D436-485B-A6BF-BB25A52A952F}">
  <dimension ref="A1:G35"/>
  <sheetViews>
    <sheetView tabSelected="1" workbookViewId="0">
      <selection activeCell="G17" sqref="G17"/>
    </sheetView>
  </sheetViews>
  <sheetFormatPr baseColWidth="10" defaultRowHeight="13.8"/>
  <cols>
    <col min="1" max="1" width="6" customWidth="1"/>
    <col min="2" max="2" width="9.296875" customWidth="1"/>
    <col min="3" max="3" width="15" customWidth="1"/>
    <col min="4" max="4" width="20.69921875" customWidth="1"/>
    <col min="5" max="5" width="15.3984375" bestFit="1" customWidth="1"/>
    <col min="6" max="6" width="16.796875" bestFit="1" customWidth="1"/>
  </cols>
  <sheetData>
    <row r="1" spans="1:7" ht="28.2">
      <c r="A1" s="1"/>
      <c r="B1" s="1"/>
      <c r="C1" s="2" t="s">
        <v>0</v>
      </c>
      <c r="D1" s="1"/>
      <c r="E1" s="3"/>
      <c r="F1" s="4">
        <f ca="1">'[1]TOTAL NOMINAS'!F1</f>
        <v>46001</v>
      </c>
      <c r="G1" s="1"/>
    </row>
    <row r="2" spans="1:7">
      <c r="A2" s="1"/>
      <c r="B2" s="1"/>
      <c r="C2" s="1"/>
      <c r="D2" s="5"/>
      <c r="E2" s="6"/>
      <c r="F2" s="5"/>
      <c r="G2" s="5"/>
    </row>
    <row r="3" spans="1:7">
      <c r="A3" s="1"/>
      <c r="B3" s="1"/>
      <c r="C3" s="5" t="s">
        <v>1</v>
      </c>
      <c r="D3" s="7">
        <f>'[1]TOTAL NOMINAS'!D3</f>
        <v>45989</v>
      </c>
      <c r="E3" s="8" t="s">
        <v>2</v>
      </c>
      <c r="F3" s="7">
        <f>'[1]TOTAL NOMINAS'!F3</f>
        <v>45995</v>
      </c>
      <c r="G3" s="5"/>
    </row>
    <row r="4" spans="1:7" ht="15">
      <c r="A4" s="1"/>
      <c r="B4" s="1"/>
      <c r="C4" s="5" t="s">
        <v>3</v>
      </c>
      <c r="D4" s="9"/>
      <c r="E4" s="3"/>
      <c r="F4" s="5"/>
      <c r="G4" s="5"/>
    </row>
    <row r="5" spans="1:7">
      <c r="A5" s="1"/>
      <c r="B5" s="1"/>
      <c r="C5" s="5"/>
      <c r="D5" s="5"/>
      <c r="E5" s="6"/>
      <c r="F5" s="5"/>
      <c r="G5" s="5"/>
    </row>
    <row r="6" spans="1:7">
      <c r="A6" s="1"/>
      <c r="B6" s="1"/>
      <c r="C6" s="10" t="s">
        <v>1</v>
      </c>
      <c r="D6" s="10" t="s">
        <v>4</v>
      </c>
      <c r="E6" s="11" t="s">
        <v>5</v>
      </c>
      <c r="F6" s="5"/>
      <c r="G6" s="5"/>
    </row>
    <row r="7" spans="1:7">
      <c r="A7" s="1"/>
      <c r="B7" s="1"/>
      <c r="C7" s="12" t="s">
        <v>6</v>
      </c>
      <c r="D7" s="13" t="s">
        <v>7</v>
      </c>
      <c r="E7" s="14">
        <v>571.41999999999996</v>
      </c>
      <c r="F7" s="5"/>
      <c r="G7" t="s">
        <v>21</v>
      </c>
    </row>
    <row r="8" spans="1:7">
      <c r="A8" s="1"/>
      <c r="B8" s="1"/>
      <c r="C8" s="12" t="s">
        <v>8</v>
      </c>
      <c r="D8" s="13" t="s">
        <v>7</v>
      </c>
      <c r="E8" s="14">
        <v>571.41999999999996</v>
      </c>
      <c r="F8" s="5"/>
      <c r="G8" t="s">
        <v>22</v>
      </c>
    </row>
    <row r="9" spans="1:7">
      <c r="A9" s="1"/>
      <c r="B9" s="1"/>
      <c r="C9" s="12" t="s">
        <v>9</v>
      </c>
      <c r="D9" s="13" t="s">
        <v>7</v>
      </c>
      <c r="E9" s="14">
        <v>571.41999999999996</v>
      </c>
      <c r="F9" s="5"/>
      <c r="G9" t="s">
        <v>23</v>
      </c>
    </row>
    <row r="10" spans="1:7">
      <c r="A10" s="1"/>
      <c r="B10" s="1"/>
      <c r="C10" s="12" t="s">
        <v>10</v>
      </c>
      <c r="D10" s="13" t="s">
        <v>7</v>
      </c>
      <c r="E10" s="14">
        <v>571.41999999999996</v>
      </c>
      <c r="F10" s="5"/>
      <c r="G10" t="s">
        <v>25</v>
      </c>
    </row>
    <row r="11" spans="1:7">
      <c r="A11" s="1"/>
      <c r="B11" s="1"/>
      <c r="C11" s="12" t="s">
        <v>11</v>
      </c>
      <c r="D11" s="13" t="s">
        <v>7</v>
      </c>
      <c r="E11" s="14">
        <v>571.41999999999996</v>
      </c>
      <c r="F11" s="5"/>
    </row>
    <row r="12" spans="1:7">
      <c r="A12" s="1"/>
      <c r="B12" s="1"/>
      <c r="C12" s="12" t="s">
        <v>12</v>
      </c>
      <c r="D12" s="13" t="s">
        <v>7</v>
      </c>
      <c r="E12" s="14">
        <v>571.41999999999996</v>
      </c>
      <c r="F12" s="5"/>
      <c r="G12" t="s">
        <v>26</v>
      </c>
    </row>
    <row r="13" spans="1:7">
      <c r="A13" s="1"/>
      <c r="B13" s="1"/>
      <c r="C13" s="15" t="s">
        <v>13</v>
      </c>
      <c r="D13" s="16" t="s">
        <v>7</v>
      </c>
      <c r="E13" s="14">
        <v>571.48</v>
      </c>
      <c r="F13" s="5"/>
      <c r="G13" t="s">
        <v>27</v>
      </c>
    </row>
    <row r="14" spans="1:7">
      <c r="A14" s="1"/>
      <c r="B14" s="1"/>
      <c r="C14" s="17" t="s">
        <v>14</v>
      </c>
      <c r="D14" s="18"/>
      <c r="E14" s="19">
        <f>1000/7*7</f>
        <v>1000</v>
      </c>
      <c r="F14" s="20"/>
      <c r="G14" t="s">
        <v>24</v>
      </c>
    </row>
    <row r="15" spans="1:7">
      <c r="A15" s="1"/>
      <c r="B15" s="1"/>
      <c r="C15" s="21"/>
      <c r="D15" s="22"/>
      <c r="E15" s="23"/>
      <c r="F15" s="24"/>
      <c r="G15" t="s">
        <v>28</v>
      </c>
    </row>
    <row r="16" spans="1:7">
      <c r="A16" s="1"/>
      <c r="B16" s="1"/>
      <c r="C16" s="25"/>
      <c r="D16" s="22"/>
      <c r="E16" s="23"/>
      <c r="F16" s="24"/>
    </row>
    <row r="17" spans="1:7">
      <c r="A17" s="1"/>
      <c r="B17" s="1"/>
      <c r="C17" s="26"/>
      <c r="D17" s="22"/>
      <c r="E17" s="27"/>
      <c r="F17" s="28"/>
      <c r="G17" s="5"/>
    </row>
    <row r="18" spans="1:7" ht="14.4" thickBot="1">
      <c r="A18" s="1"/>
      <c r="B18" s="1"/>
      <c r="C18" s="29"/>
      <c r="D18" s="29"/>
      <c r="E18" s="30"/>
      <c r="F18" s="31"/>
      <c r="G18" s="5"/>
    </row>
    <row r="19" spans="1:7" ht="21" thickBot="1">
      <c r="A19" s="1"/>
      <c r="B19" s="1"/>
      <c r="C19" s="8"/>
      <c r="D19" s="32" t="s">
        <v>15</v>
      </c>
      <c r="E19" s="33">
        <f>SUM(E7:E18)-E21-E22</f>
        <v>3040</v>
      </c>
      <c r="F19" s="31"/>
      <c r="G19" s="5"/>
    </row>
    <row r="20" spans="1:7" ht="21" thickBot="1">
      <c r="A20" s="1"/>
      <c r="B20" s="1"/>
      <c r="C20" s="8"/>
      <c r="D20" s="34"/>
      <c r="E20" s="35"/>
      <c r="F20" s="36"/>
      <c r="G20" s="5"/>
    </row>
    <row r="21" spans="1:7" ht="14.4" thickBot="1">
      <c r="A21" s="1"/>
      <c r="B21" s="37" t="s">
        <v>16</v>
      </c>
      <c r="C21" s="38"/>
      <c r="D21" s="38"/>
      <c r="E21" s="39">
        <v>593.20000000000005</v>
      </c>
      <c r="F21" s="40"/>
      <c r="G21" s="5"/>
    </row>
    <row r="22" spans="1:7" ht="14.4" thickBot="1">
      <c r="A22" s="1"/>
      <c r="B22" s="41" t="s">
        <v>17</v>
      </c>
      <c r="C22" s="42"/>
      <c r="D22" s="42"/>
      <c r="E22" s="43">
        <v>1366.8</v>
      </c>
      <c r="F22" s="44"/>
      <c r="G22" s="5"/>
    </row>
    <row r="23" spans="1:7">
      <c r="A23" s="1"/>
      <c r="B23" s="1"/>
      <c r="C23" s="1"/>
      <c r="D23" s="1"/>
      <c r="E23" s="3"/>
      <c r="F23" s="1"/>
      <c r="G23" s="5"/>
    </row>
    <row r="24" spans="1:7" ht="14.4" thickBot="1">
      <c r="A24" s="1"/>
      <c r="B24" s="1"/>
      <c r="C24" s="45"/>
      <c r="D24" s="45"/>
      <c r="E24" s="46"/>
      <c r="F24" s="5"/>
      <c r="G24" s="5"/>
    </row>
    <row r="25" spans="1:7">
      <c r="A25" s="1"/>
      <c r="B25" s="1"/>
      <c r="C25" s="5"/>
      <c r="D25" s="8" t="s">
        <v>18</v>
      </c>
      <c r="E25" s="6"/>
      <c r="F25" s="5"/>
      <c r="G25" s="5"/>
    </row>
    <row r="26" spans="1:7">
      <c r="A26" s="1"/>
      <c r="B26" s="1"/>
      <c r="C26" s="5"/>
      <c r="D26" s="5"/>
      <c r="E26" s="6"/>
      <c r="F26" s="5"/>
      <c r="G26" s="5"/>
    </row>
    <row r="27" spans="1:7">
      <c r="A27" s="1"/>
      <c r="B27" s="1"/>
      <c r="C27" s="5"/>
      <c r="D27" s="8"/>
      <c r="E27" s="6"/>
      <c r="F27" s="5"/>
      <c r="G27" s="5"/>
    </row>
    <row r="28" spans="1:7">
      <c r="A28" s="1"/>
      <c r="B28" s="1"/>
      <c r="C28" s="5"/>
      <c r="D28" s="5"/>
      <c r="E28" s="6"/>
      <c r="F28" s="5"/>
      <c r="G28" s="5"/>
    </row>
    <row r="29" spans="1:7" ht="14.4" thickBot="1">
      <c r="A29" s="47" t="s">
        <v>19</v>
      </c>
      <c r="B29" s="47"/>
      <c r="C29" s="48">
        <f>389.49+395.49+395.49</f>
        <v>1180.47</v>
      </c>
      <c r="D29" s="5"/>
      <c r="E29" s="6">
        <f>SUM(E19:E28)</f>
        <v>5000</v>
      </c>
      <c r="F29" s="5"/>
      <c r="G29" s="5"/>
    </row>
    <row r="30" spans="1:7" ht="14.4" thickBot="1">
      <c r="A30" s="1"/>
      <c r="B30" s="49" t="s">
        <v>20</v>
      </c>
      <c r="C30" s="50"/>
      <c r="D30" s="50"/>
      <c r="E30" s="51"/>
      <c r="F30" s="52"/>
      <c r="G30" s="5"/>
    </row>
    <row r="31" spans="1:7" ht="14.4" thickBot="1">
      <c r="A31" s="1"/>
      <c r="B31" s="53"/>
      <c r="C31" s="53"/>
      <c r="D31" s="54"/>
      <c r="E31" s="53"/>
      <c r="F31" s="53"/>
      <c r="G31" s="53"/>
    </row>
    <row r="32" spans="1:7" ht="14.4" thickTop="1">
      <c r="A32" s="1"/>
      <c r="B32" s="1"/>
      <c r="C32" s="1"/>
      <c r="D32" s="55"/>
      <c r="E32" s="1"/>
      <c r="F32" s="1"/>
      <c r="G32" s="1"/>
    </row>
    <row r="33" spans="1:7">
      <c r="A33" s="1"/>
      <c r="B33" s="1"/>
      <c r="C33" s="1"/>
      <c r="D33" s="55"/>
      <c r="E33" s="1"/>
      <c r="F33" s="1"/>
      <c r="G33" s="1"/>
    </row>
    <row r="34" spans="1:7">
      <c r="A34" s="1"/>
      <c r="B34" s="1"/>
      <c r="C34" s="1"/>
      <c r="D34" s="55"/>
      <c r="E34" s="1"/>
      <c r="F34" s="1"/>
      <c r="G34" s="1"/>
    </row>
    <row r="35" spans="1:7">
      <c r="A35" s="1"/>
      <c r="B35" s="1"/>
      <c r="C35" s="1"/>
      <c r="D35" s="55"/>
      <c r="E35" s="1"/>
      <c r="F35" s="1"/>
      <c r="G35" s="1"/>
    </row>
  </sheetData>
  <mergeCells count="4">
    <mergeCell ref="C14:D14"/>
    <mergeCell ref="B21:D21"/>
    <mergeCell ref="B22:D22"/>
    <mergeCell ref="A29:B29"/>
  </mergeCells>
  <conditionalFormatting sqref="B22">
    <cfRule type="duplicateValues" dxfId="12" priority="1"/>
    <cfRule type="duplicateValues" dxfId="11" priority="2"/>
    <cfRule type="duplicateValues" dxfId="10" priority="3"/>
    <cfRule type="duplicateValues" dxfId="9" priority="4"/>
    <cfRule type="duplicateValues" dxfId="8" priority="5"/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15:D16">
    <cfRule type="duplicateValues" dxfId="3" priority="13"/>
  </conditionalFormatting>
  <conditionalFormatting sqref="D17">
    <cfRule type="duplicateValues" dxfId="2" priority="10"/>
  </conditionalFormatting>
  <conditionalFormatting sqref="D31:D35">
    <cfRule type="duplicateValues" dxfId="1" priority="11"/>
    <cfRule type="duplicateValues" dxfId="0" priority="1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rack steel</dc:creator>
  <cp:lastModifiedBy>rack steel</cp:lastModifiedBy>
  <dcterms:created xsi:type="dcterms:W3CDTF">2025-12-10T18:01:46Z</dcterms:created>
  <dcterms:modified xsi:type="dcterms:W3CDTF">2025-12-10T18:07:11Z</dcterms:modified>
</cp:coreProperties>
</file>